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/>
  <bookViews>
    <workbookView xWindow="120" yWindow="120" windowWidth="19035" windowHeight="8445"/>
  </bookViews>
  <sheets>
    <sheet name="附件1" sheetId="1" r:id="rId1"/>
    <sheet name="附件2" sheetId="2" r:id="rId2"/>
  </sheets>
  <definedNames/>
  <calcPr calcId="125725"/>
</workbook>
</file>

<file path=xl/sharedStrings.xml><?xml version="1.0" encoding="utf-8"?>
<sst xmlns="http://schemas.openxmlformats.org/spreadsheetml/2006/main" count="964" uniqueCount="240">
  <si>
    <t/>
  </si>
  <si>
    <t xml:space="preserve">       19.00</t>
  </si>
  <si>
    <t xml:space="preserve">     0.00</t>
  </si>
  <si>
    <t xml:space="preserve"> 2026-10-01 _廣告贊助_U9VT</t>
  </si>
  <si>
    <t xml:space="preserve"> 2026-10-02 _廣告贊助_U9VT</t>
  </si>
  <si>
    <t xml:space="preserve"> 2026-10-03 _廣告贊助_U9VT</t>
  </si>
  <si>
    <t xml:space="preserve"> 2026-10-04 _廣告贊助_U9VT</t>
  </si>
  <si>
    <t xml:space="preserve"> 2026-10-05 _廣告贊助_U9VT</t>
  </si>
  <si>
    <t xml:space="preserve"> 2026-10-07 _廣告贊助_U9VT</t>
  </si>
  <si>
    <t xml:space="preserve"> 2026-10-08 _廣告贊助_U9VT</t>
  </si>
  <si>
    <t xml:space="preserve"> 2026-10-09 _廣告贊助_U9VT</t>
  </si>
  <si>
    <t xml:space="preserve"> 2026-10-10 _廣告贊助_U9VT</t>
  </si>
  <si>
    <t xml:space="preserve"> 2026-10-11 _廣告贊助_U9VT</t>
  </si>
  <si>
    <t xml:space="preserve"> 2026-10-12 _廣告贊助_U9VT</t>
  </si>
  <si>
    <t xml:space="preserve"> 2026-10-13 _廣告贊助_U9VT</t>
  </si>
  <si>
    <t xml:space="preserve"> 2026-10-14 _廣告贊助_U9VT</t>
  </si>
  <si>
    <t xml:space="preserve"> 2026-10-15 _廣告贊助_U9VT</t>
  </si>
  <si>
    <t>10/13_拒單費用_U9VT-2642-C25K</t>
  </si>
  <si>
    <t>2026/10/01</t>
  </si>
  <si>
    <t>2026/10/02</t>
  </si>
  <si>
    <t>2026/10/03</t>
  </si>
  <si>
    <t>2026/10/04</t>
  </si>
  <si>
    <t>2026/10/05</t>
  </si>
  <si>
    <t>2026/10/06</t>
  </si>
  <si>
    <t>2026/10/07</t>
  </si>
  <si>
    <t>2026/10/08</t>
  </si>
  <si>
    <t>2026/10/09</t>
  </si>
  <si>
    <t>2026/10/10</t>
  </si>
  <si>
    <t>2026/10/11</t>
  </si>
  <si>
    <t>2026/10/12</t>
  </si>
  <si>
    <t>2026/10/13</t>
  </si>
  <si>
    <t>2026/10/14</t>
  </si>
  <si>
    <t>2026/10/15</t>
  </si>
  <si>
    <t>FOODPANDA</t>
  </si>
  <si>
    <t>SELFPICKED</t>
  </si>
  <si>
    <t>TWD</t>
  </si>
  <si>
    <t>foodpanda 應付(應收)金額</t>
  </si>
  <si>
    <t>foodpanda 折扣</t>
  </si>
  <si>
    <t>pandabox 曝光費用</t>
  </si>
  <si>
    <t>u9vt</t>
  </si>
  <si>
    <t>u9vt-2640-7j4k</t>
  </si>
  <si>
    <t>u9vt-2640-8d48</t>
  </si>
  <si>
    <t>u9vt-2640-athr</t>
  </si>
  <si>
    <t>u9vt-2640-gude</t>
  </si>
  <si>
    <t>u9vt-2640-jxkr</t>
  </si>
  <si>
    <t>u9vt-2640-n8gg</t>
  </si>
  <si>
    <t>u9vt-2640-oold</t>
  </si>
  <si>
    <t>u9vt-2640-q1d5</t>
  </si>
  <si>
    <t>u9vt-2640-toai</t>
  </si>
  <si>
    <t>u9vt-2641-06n8</t>
  </si>
  <si>
    <t>u9vt-2641-3a3v</t>
  </si>
  <si>
    <t>u9vt-2641-5gfe</t>
  </si>
  <si>
    <t>u9vt-2641-5yde</t>
  </si>
  <si>
    <t>u9vt-2641-60tw</t>
  </si>
  <si>
    <t>u9vt-2641-9b6n</t>
  </si>
  <si>
    <t>u9vt-2641-bmjk</t>
  </si>
  <si>
    <t>u9vt-2641-bz2e</t>
  </si>
  <si>
    <t>u9vt-2641-cg4e</t>
  </si>
  <si>
    <t>u9vt-2641-irum</t>
  </si>
  <si>
    <t>u9vt-2641-kqcq</t>
  </si>
  <si>
    <t>u9vt-2641-mjzm</t>
  </si>
  <si>
    <t>u9vt-2641-qqiv</t>
  </si>
  <si>
    <t>u9vt-2641-qtye</t>
  </si>
  <si>
    <t>u9vt-2641-stsc</t>
  </si>
  <si>
    <t>u9vt-2641-uq2u</t>
  </si>
  <si>
    <t>u9vt-2641-xfbc</t>
  </si>
  <si>
    <t>u9vt-2641-xxld</t>
  </si>
  <si>
    <t>u9vt-2641-za03</t>
  </si>
  <si>
    <t>u9vt-2642-4qx6</t>
  </si>
  <si>
    <t>u9vt-2642-52c3</t>
  </si>
  <si>
    <t>u9vt-2642-5vph</t>
  </si>
  <si>
    <t>u9vt-2642-cwh4</t>
  </si>
  <si>
    <t>u9vt-2642-iegs</t>
  </si>
  <si>
    <t>u9vt-2642-j3gk</t>
  </si>
  <si>
    <t>u9vt-2642-meqn</t>
  </si>
  <si>
    <t>付款說明</t>
  </si>
  <si>
    <t>佣金計算基礎 _pandabox 訂單</t>
  </si>
  <si>
    <t>佣金計算基礎_一般訂單</t>
  </si>
  <si>
    <t>商品金額</t>
  </si>
  <si>
    <t>商家代碼</t>
  </si>
  <si>
    <t>商家名稱</t>
  </si>
  <si>
    <t>商家已收金額</t>
  </si>
  <si>
    <t>商家折扣_促銷折扣</t>
  </si>
  <si>
    <t>商家折扣_優惠券</t>
  </si>
  <si>
    <t>商家折扣_外送費</t>
  </si>
  <si>
    <t>塑膠袋費用</t>
  </si>
  <si>
    <t>定額佣金</t>
  </si>
  <si>
    <t>幣別</t>
  </si>
  <si>
    <t>廣告曝光費用</t>
  </si>
  <si>
    <t>拒單費用</t>
  </si>
  <si>
    <t>指定顧客曝光費用</t>
  </si>
  <si>
    <t>指定顧客曝光費用百分比</t>
  </si>
  <si>
    <t>未完成訂單款項</t>
  </si>
  <si>
    <t>百分比記號(%)</t>
  </si>
  <si>
    <t>移除品項</t>
  </si>
  <si>
    <t>綜合佣金總額</t>
  </si>
  <si>
    <t>訂單日期</t>
  </si>
  <si>
    <t>訂單編號</t>
  </si>
  <si>
    <t>詳細資訊</t>
  </si>
  <si>
    <t>配送方式</t>
  </si>
  <si>
    <t>金額</t>
  </si>
  <si>
    <t>隨意小吃 (東區店)</t>
  </si>
  <si>
    <t>項目</t>
  </si>
</sst>
</file>

<file path=xl/styles.xml><?xml version="1.0" encoding="utf-8"?>
<styleSheet xmlns="http://schemas.openxmlformats.org/spreadsheetml/2006/main">
  <numFmts/>
  <fonts count="1">
    <font>
      <sz val="11"/>
      <color rgb="FF000000"/>
      <name val="Calibri"/>
      <family val="2"/>
      <scheme val="minor"/>
    </font>
  </fonts>
  <fills count="2">
    <fill>
      <patternFill patternType="none">
        <bgColor indexed="64"/>
      </patternFill>
    </fill>
    <fill>
      <patternFill patternType="gray125"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1" borderId="0" xfId="0" applyFill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&#65279;<?xml version="1.0"  standalone="yes"?>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Y36" totalsRowShown="0">
  <tableColumns count="25">
    <tableColumn id="30" name="商家名稱"/>
    <tableColumn id="40" name="商家代碼"/>
    <tableColumn id="50" name="訂單編號"/>
    <tableColumn id="60" name="移除品項"/>
    <tableColumn id="70" name="訂單日期"/>
    <tableColumn id="80" name="配送方式"/>
    <tableColumn id="90" name="商品金額"/>
    <tableColumn id="100" name="foodpanda 折扣"/>
    <tableColumn id="110" name="塑膠袋費用"/>
    <tableColumn id="120" name="商家折扣_促銷折扣"/>
    <tableColumn id="130" name="商家折扣_優惠券"/>
    <tableColumn id="140" name="pandabox 曝光費用"/>
    <tableColumn id="150" name="指定顧客曝光費用"/>
    <tableColumn id="160" name="商家折扣_外送費"/>
    <tableColumn id="170" name="商家已收金額"/>
    <tableColumn id="180" name="佣金計算基礎_一般訂單"/>
    <tableColumn id="190" name="佣金計算基礎 _pandabox 訂單"/>
    <tableColumn id="195" name="百分比記號(%)"/>
    <tableColumn id="200" name="定額佣金"/>
    <tableColumn id="210" name="綜合佣金總額"/>
    <tableColumn id="215" name="未完成訂單款項"/>
    <tableColumn id="216" name="付款說明"/>
    <tableColumn id="220" name="指定顧客曝光費用百分比"/>
    <tableColumn id="230" name="foodpanda 應付(應收)金額"/>
    <tableColumn id="240" name="幣別"/>
  </tableColumns>
  <tableStyleInfo name="TableStyleMedium6" showFirstColumn="0" showLastColumn="0" showRowStripes="0" showColumnStripes="0"/>
</table>
</file>

<file path=xl/tables/table2.xml><?xml version="1.0" encoding="utf-8"?>
<table xmlns="http://schemas.openxmlformats.org/spreadsheetml/2006/main" id="2" name="table2" displayName="table2" ref="A1:D17" totalsRowCount="1">
  <tableColumns count="4">
    <tableColumn id="3" name="項目"/>
    <tableColumn id="4" name="詳細資訊"/>
    <tableColumn id="5" name="金額" totalsRowFunction="sum"/>
    <tableColumn id="6" name="幣別"/>
  </tableColumns>
  <tableStyleInfo name="TableStyleMedium6" showFirstColumn="0" showLastColumn="0" showRowStripes="0" showColumnStripes="0"/>
</table>
</file>

<file path=xl/theme/theme1.xml><?xml version="1.0" encoding="utf-8"?>
<a:theme xmlns:a="http://schemas.openxmlformats.org/drawingml/2006/main" name="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 panose="020F0502020204030204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_rels/sheet1.xml.rels>&#65279;<?xml version="1.0" 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&#65279;<?xml version="1.0" 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Y36"/>
  <sheetViews>
    <sheetView tabSelected="1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0" max="30" width="3.0000000000000000E+01" customWidth="true"/>
    <col min="40" max="40" width="2.0000000000000000E+01" customWidth="true"/>
    <col min="50" max="50" width="2.0000000000000000E+01" customWidth="true"/>
    <col min="60" max="60" width="2.0000000000000000E+01" customWidth="true"/>
    <col min="70" max="70" width="2.0000000000000000E+01" customWidth="true"/>
    <col min="80" max="80" width="2.0000000000000000E+01" customWidth="true"/>
    <col min="90" max="90" width="2.0000000000000000E+01" customWidth="true"/>
    <col min="100" max="100" width="2.0000000000000000E+01" customWidth="true"/>
    <col min="110" max="110" width="2.0000000000000000E+01" customWidth="true"/>
    <col min="120" max="120" width="2.0000000000000000E+01" customWidth="true"/>
    <col min="130" max="130" width="2.0000000000000000E+01" customWidth="true"/>
    <col min="140" max="140" width="2.0000000000000000E+01" customWidth="true"/>
    <col min="150" max="150" width="2.0000000000000000E+01" customWidth="true"/>
    <col min="160" max="160" width="2.0000000000000000E+01" customWidth="true"/>
    <col min="170" max="170" width="2.0000000000000000E+01" customWidth="true"/>
    <col min="180" max="180" width="2.0000000000000000E+01" customWidth="true"/>
    <col min="190" max="190" width="2.0000000000000000E+01" customWidth="true"/>
    <col min="195" max="195" width="2.0000000000000000E+01" customWidth="true"/>
    <col min="200" max="200" width="2.0000000000000000E+01" customWidth="true"/>
    <col min="210" max="210" width="2.0000000000000000E+01" customWidth="true"/>
    <col min="215" max="215" width="2.0000000000000000E+01" customWidth="true"/>
    <col min="216" max="216" width="2.0000000000000000E+01" customWidth="true"/>
    <col min="220" max="220" width="2.0000000000000000E+01" customWidth="true"/>
    <col min="230" max="230" width="2.0000000000000000E+01" customWidth="true"/>
    <col min="240" max="240" width="2.0000000000000000E+01" customWidth="true"/>
  </cols>
  <sheetData>
    <row r="1" spans="1:25">
      <c r="A1" t="s">
        <v>80</v>
      </c>
      <c r="B1" t="s">
        <v>79</v>
      </c>
      <c r="C1" t="s">
        <v>97</v>
      </c>
      <c r="D1" t="s">
        <v>94</v>
      </c>
      <c r="E1" t="s">
        <v>96</v>
      </c>
      <c r="F1" t="s">
        <v>99</v>
      </c>
      <c r="G1" t="s">
        <v>78</v>
      </c>
      <c r="H1" t="s">
        <v>37</v>
      </c>
      <c r="I1" t="s">
        <v>85</v>
      </c>
      <c r="J1" t="s">
        <v>82</v>
      </c>
      <c r="K1" t="s">
        <v>83</v>
      </c>
      <c r="L1" t="s">
        <v>38</v>
      </c>
      <c r="M1" t="s">
        <v>90</v>
      </c>
      <c r="N1" t="s">
        <v>84</v>
      </c>
      <c r="O1" t="s">
        <v>81</v>
      </c>
      <c r="P1" t="s">
        <v>77</v>
      </c>
      <c r="Q1" t="s">
        <v>76</v>
      </c>
      <c r="R1" t="s">
        <v>93</v>
      </c>
      <c r="S1" t="s">
        <v>86</v>
      </c>
      <c r="T1" t="s">
        <v>95</v>
      </c>
      <c r="U1" t="s">
        <v>92</v>
      </c>
      <c r="V1" t="s">
        <v>75</v>
      </c>
      <c r="W1" t="s">
        <v>91</v>
      </c>
      <c r="X1" t="s">
        <v>36</v>
      </c>
      <c r="Y1" t="s">
        <v>87</v>
      </c>
    </row>
    <row r="2" spans="1:25">
      <c r="A2" t="s">
        <v>101</v>
      </c>
      <c r="B2" t="s">
        <v>39</v>
      </c>
      <c r="C2" t="s">
        <v>40</v>
      </c>
      <c r="D2"/>
      <c r="E2" t="s">
        <v>21</v>
      </c>
      <c r="F2" t="s">
        <v>33</v>
      </c>
      <c r="G2" s="2">
        <v>368.00000000000000</v>
      </c>
      <c r="H2" s="2">
        <v>0</v>
      </c>
      <c r="I2" s="2">
        <v>0</v>
      </c>
      <c r="J2" s="2">
        <v>74.000000000000000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294.00000000000000</v>
      </c>
      <c r="Q2" s="2">
        <v>0</v>
      </c>
      <c r="R2" t="s">
        <v>1</v>
      </c>
      <c r="S2" s="2">
        <v>0</v>
      </c>
      <c r="T2" s="2">
        <v>56.000000000000000</v>
      </c>
      <c r="U2" s="2">
        <v>0</v>
      </c>
      <c r="V2"/>
      <c r="W2" t="s">
        <v>2</v>
      </c>
      <c r="X2" s="2">
        <v>238.00000000000000</v>
      </c>
      <c r="Y2" t="s">
        <v>35</v>
      </c>
    </row>
    <row r="3" spans="1:25">
      <c r="A3" t="s">
        <v>101</v>
      </c>
      <c r="B3" t="s">
        <v>39</v>
      </c>
      <c r="C3" t="s">
        <v>41</v>
      </c>
      <c r="D3"/>
      <c r="E3" t="s">
        <v>19</v>
      </c>
      <c r="F3" t="s">
        <v>34</v>
      </c>
      <c r="G3" s="2">
        <v>388.00000000000000</v>
      </c>
      <c r="H3" s="2">
        <v>78.000000000000000</v>
      </c>
      <c r="I3" s="2">
        <v>0</v>
      </c>
      <c r="J3" s="2">
        <v>58.000000000000000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330.00000000000000</v>
      </c>
      <c r="Q3" s="2">
        <v>0</v>
      </c>
      <c r="R3" t="s">
        <v>1</v>
      </c>
      <c r="S3" s="2">
        <v>0</v>
      </c>
      <c r="T3" s="2">
        <v>63.000000000000000</v>
      </c>
      <c r="U3" s="2">
        <v>0</v>
      </c>
      <c r="V3"/>
      <c r="W3" t="s">
        <v>2</v>
      </c>
      <c r="X3" s="2">
        <v>267.00000000000000</v>
      </c>
      <c r="Y3" t="s">
        <v>35</v>
      </c>
    </row>
    <row r="4" spans="1:25">
      <c r="A4" t="s">
        <v>101</v>
      </c>
      <c r="B4" t="s">
        <v>39</v>
      </c>
      <c r="C4" t="s">
        <v>42</v>
      </c>
      <c r="D4"/>
      <c r="E4" t="s">
        <v>21</v>
      </c>
      <c r="F4" t="s">
        <v>33</v>
      </c>
      <c r="G4" s="2">
        <v>536.00000000000000</v>
      </c>
      <c r="H4" s="2">
        <v>0</v>
      </c>
      <c r="I4" s="2">
        <v>0</v>
      </c>
      <c r="J4" s="2">
        <v>107.00000000000000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429.00000000000000</v>
      </c>
      <c r="Q4" s="2">
        <v>0</v>
      </c>
      <c r="R4" t="s">
        <v>1</v>
      </c>
      <c r="S4" s="2">
        <v>0</v>
      </c>
      <c r="T4" s="2">
        <v>82.000000000000000</v>
      </c>
      <c r="U4" s="2">
        <v>0</v>
      </c>
      <c r="V4"/>
      <c r="W4" t="s">
        <v>2</v>
      </c>
      <c r="X4" s="2">
        <v>347.00000000000000</v>
      </c>
      <c r="Y4" t="s">
        <v>35</v>
      </c>
    </row>
    <row r="5" spans="1:25">
      <c r="A5" t="s">
        <v>101</v>
      </c>
      <c r="B5" t="s">
        <v>39</v>
      </c>
      <c r="C5" t="s">
        <v>43</v>
      </c>
      <c r="D5"/>
      <c r="E5" t="s">
        <v>18</v>
      </c>
      <c r="F5" t="s">
        <v>33</v>
      </c>
      <c r="G5" s="2">
        <v>707.00000000000000</v>
      </c>
      <c r="H5" s="2">
        <v>0</v>
      </c>
      <c r="I5" s="2">
        <v>0</v>
      </c>
      <c r="J5" s="2">
        <v>106.00000000000000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601.00000000000000</v>
      </c>
      <c r="Q5" s="2">
        <v>0</v>
      </c>
      <c r="R5" t="s">
        <v>1</v>
      </c>
      <c r="S5" s="2">
        <v>0</v>
      </c>
      <c r="T5" s="2">
        <v>114.00000000000000</v>
      </c>
      <c r="U5" s="2">
        <v>0</v>
      </c>
      <c r="V5"/>
      <c r="W5" t="s">
        <v>2</v>
      </c>
      <c r="X5" s="2">
        <v>487.00000000000000</v>
      </c>
      <c r="Y5" t="s">
        <v>35</v>
      </c>
    </row>
    <row r="6" spans="1:25">
      <c r="A6" t="s">
        <v>101</v>
      </c>
      <c r="B6" t="s">
        <v>39</v>
      </c>
      <c r="C6" t="s">
        <v>44</v>
      </c>
      <c r="D6"/>
      <c r="E6" t="s">
        <v>21</v>
      </c>
      <c r="F6" t="s">
        <v>33</v>
      </c>
      <c r="G6" s="2">
        <v>557.00000000000000</v>
      </c>
      <c r="H6" s="2">
        <v>0</v>
      </c>
      <c r="I6" s="2">
        <v>0</v>
      </c>
      <c r="J6" s="2">
        <v>111.00000000000000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446.00000000000000</v>
      </c>
      <c r="Q6" s="2">
        <v>0</v>
      </c>
      <c r="R6" t="s">
        <v>1</v>
      </c>
      <c r="S6" s="2">
        <v>0</v>
      </c>
      <c r="T6" s="2">
        <v>85.000000000000000</v>
      </c>
      <c r="U6" s="2">
        <v>0</v>
      </c>
      <c r="V6"/>
      <c r="W6" t="s">
        <v>2</v>
      </c>
      <c r="X6" s="2">
        <v>361.00000000000000</v>
      </c>
      <c r="Y6" t="s">
        <v>35</v>
      </c>
    </row>
    <row r="7" spans="1:25">
      <c r="A7" t="s">
        <v>101</v>
      </c>
      <c r="B7" t="s">
        <v>39</v>
      </c>
      <c r="C7" t="s">
        <v>45</v>
      </c>
      <c r="D7"/>
      <c r="E7" t="s">
        <v>18</v>
      </c>
      <c r="F7" t="s">
        <v>33</v>
      </c>
      <c r="G7" s="2">
        <v>368.00000000000000</v>
      </c>
      <c r="H7" s="2">
        <v>0</v>
      </c>
      <c r="I7" s="2">
        <v>0</v>
      </c>
      <c r="J7" s="2">
        <v>55.000000000000000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313.00000000000000</v>
      </c>
      <c r="Q7" s="2">
        <v>0</v>
      </c>
      <c r="R7" t="s">
        <v>1</v>
      </c>
      <c r="S7" s="2">
        <v>0</v>
      </c>
      <c r="T7" s="2">
        <v>59.000000000000000</v>
      </c>
      <c r="U7" s="2">
        <v>0</v>
      </c>
      <c r="V7"/>
      <c r="W7" t="s">
        <v>2</v>
      </c>
      <c r="X7" s="2">
        <v>254.00000000000000</v>
      </c>
      <c r="Y7" t="s">
        <v>35</v>
      </c>
    </row>
    <row r="8" spans="1:25">
      <c r="A8" t="s">
        <v>101</v>
      </c>
      <c r="B8" t="s">
        <v>39</v>
      </c>
      <c r="C8" t="s">
        <v>46</v>
      </c>
      <c r="D8"/>
      <c r="E8" t="s">
        <v>18</v>
      </c>
      <c r="F8" t="s">
        <v>34</v>
      </c>
      <c r="G8" s="2">
        <v>219.00000000000000</v>
      </c>
      <c r="H8" s="2">
        <v>74.000000000000000</v>
      </c>
      <c r="I8" s="2">
        <v>0</v>
      </c>
      <c r="J8" s="2">
        <v>44.000000000000000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175.00000000000000</v>
      </c>
      <c r="Q8" s="2">
        <v>0</v>
      </c>
      <c r="R8" t="s">
        <v>1</v>
      </c>
      <c r="S8" s="2">
        <v>0</v>
      </c>
      <c r="T8" s="2">
        <v>33.000000000000000</v>
      </c>
      <c r="U8" s="2">
        <v>0</v>
      </c>
      <c r="V8"/>
      <c r="W8" t="s">
        <v>2</v>
      </c>
      <c r="X8" s="2">
        <v>142.00000000000000</v>
      </c>
      <c r="Y8" t="s">
        <v>35</v>
      </c>
    </row>
    <row r="9" spans="1:25">
      <c r="A9" t="s">
        <v>101</v>
      </c>
      <c r="B9" t="s">
        <v>39</v>
      </c>
      <c r="C9" t="s">
        <v>47</v>
      </c>
      <c r="D9"/>
      <c r="E9" t="s">
        <v>20</v>
      </c>
      <c r="F9" t="s">
        <v>33</v>
      </c>
      <c r="G9" s="2">
        <v>238.00000000000000</v>
      </c>
      <c r="H9" s="2">
        <v>0</v>
      </c>
      <c r="I9" s="2">
        <v>0</v>
      </c>
      <c r="J9" s="2">
        <v>36.000000000000000</v>
      </c>
      <c r="K9" s="2">
        <v>0</v>
      </c>
      <c r="L9" s="2">
        <v>0</v>
      </c>
      <c r="M9" s="2">
        <v>0</v>
      </c>
      <c r="N9" s="2">
        <v>0</v>
      </c>
      <c r="O9" s="2">
        <v>0</v>
      </c>
      <c r="P9" s="2">
        <v>202.00000000000000</v>
      </c>
      <c r="Q9" s="2">
        <v>0</v>
      </c>
      <c r="R9" t="s">
        <v>1</v>
      </c>
      <c r="S9" s="2">
        <v>0</v>
      </c>
      <c r="T9" s="2">
        <v>38.000000000000000</v>
      </c>
      <c r="U9" s="2">
        <v>0</v>
      </c>
      <c r="V9"/>
      <c r="W9" t="s">
        <v>2</v>
      </c>
      <c r="X9" s="2">
        <v>164.00000000000000</v>
      </c>
      <c r="Y9" t="s">
        <v>35</v>
      </c>
    </row>
    <row r="10" spans="1:25">
      <c r="A10" t="s">
        <v>101</v>
      </c>
      <c r="B10" t="s">
        <v>39</v>
      </c>
      <c r="C10" t="s">
        <v>48</v>
      </c>
      <c r="D10"/>
      <c r="E10" t="s">
        <v>21</v>
      </c>
      <c r="F10" t="s">
        <v>33</v>
      </c>
      <c r="G10" s="2">
        <v>816.00000000000000</v>
      </c>
      <c r="H10" s="2">
        <v>653.00000000000000</v>
      </c>
      <c r="I10" s="2">
        <v>0</v>
      </c>
      <c r="J10" s="2">
        <v>163.00000000000000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653.00000000000000</v>
      </c>
      <c r="Q10" s="2">
        <v>0</v>
      </c>
      <c r="R10" t="s">
        <v>1</v>
      </c>
      <c r="S10" s="2">
        <v>0</v>
      </c>
      <c r="T10" s="2">
        <v>124.00000000000000</v>
      </c>
      <c r="U10" s="2">
        <v>0</v>
      </c>
      <c r="V10"/>
      <c r="W10" t="s">
        <v>2</v>
      </c>
      <c r="X10" s="2">
        <v>529.00000000000000</v>
      </c>
      <c r="Y10" t="s">
        <v>35</v>
      </c>
    </row>
    <row r="11" spans="1:25">
      <c r="A11" t="s">
        <v>101</v>
      </c>
      <c r="B11" t="s">
        <v>39</v>
      </c>
      <c r="C11" t="s">
        <v>49</v>
      </c>
      <c r="D11"/>
      <c r="E11" t="s">
        <v>22</v>
      </c>
      <c r="F11" t="s">
        <v>34</v>
      </c>
      <c r="G11" s="2">
        <v>248.00000000000000</v>
      </c>
      <c r="H11" s="2">
        <v>50.000000000000000</v>
      </c>
      <c r="I11" s="2">
        <v>0</v>
      </c>
      <c r="J11" s="2">
        <v>50.000000000000000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198.00000000000000</v>
      </c>
      <c r="Q11" s="2">
        <v>0</v>
      </c>
      <c r="R11" t="s">
        <v>1</v>
      </c>
      <c r="S11" s="2">
        <v>0</v>
      </c>
      <c r="T11" s="2">
        <v>38.000000000000000</v>
      </c>
      <c r="U11" s="2">
        <v>0</v>
      </c>
      <c r="V11"/>
      <c r="W11" t="s">
        <v>2</v>
      </c>
      <c r="X11" s="2">
        <v>160.00000000000000</v>
      </c>
      <c r="Y11" t="s">
        <v>35</v>
      </c>
    </row>
    <row r="12" spans="1:25">
      <c r="A12" t="s">
        <v>101</v>
      </c>
      <c r="B12" t="s">
        <v>39</v>
      </c>
      <c r="C12" t="s">
        <v>50</v>
      </c>
      <c r="D12"/>
      <c r="E12" t="s">
        <v>26</v>
      </c>
      <c r="F12" t="s">
        <v>34</v>
      </c>
      <c r="G12" s="2">
        <v>786.00000000000000</v>
      </c>
      <c r="H12" s="2">
        <v>217.00000000000000</v>
      </c>
      <c r="I12" s="2">
        <v>0</v>
      </c>
      <c r="J12" s="2">
        <v>118.00000000000000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668.00000000000000</v>
      </c>
      <c r="Q12" s="2">
        <v>0</v>
      </c>
      <c r="R12" t="s">
        <v>1</v>
      </c>
      <c r="S12" s="2">
        <v>0</v>
      </c>
      <c r="T12" s="2">
        <v>127.00000000000000</v>
      </c>
      <c r="U12" s="2">
        <v>0</v>
      </c>
      <c r="V12"/>
      <c r="W12" t="s">
        <v>2</v>
      </c>
      <c r="X12" s="2">
        <v>541.00000000000000</v>
      </c>
      <c r="Y12" t="s">
        <v>35</v>
      </c>
    </row>
    <row r="13" spans="1:25">
      <c r="A13" t="s">
        <v>101</v>
      </c>
      <c r="B13" t="s">
        <v>39</v>
      </c>
      <c r="C13" t="s">
        <v>51</v>
      </c>
      <c r="D13"/>
      <c r="E13" t="s">
        <v>24</v>
      </c>
      <c r="F13" t="s">
        <v>33</v>
      </c>
      <c r="G13" s="2">
        <v>219.00000000000000</v>
      </c>
      <c r="H13" s="2">
        <v>0</v>
      </c>
      <c r="I13" s="2">
        <v>0</v>
      </c>
      <c r="J13" s="2">
        <v>33.000000000000000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186.00000000000000</v>
      </c>
      <c r="Q13" s="2">
        <v>0</v>
      </c>
      <c r="R13" t="s">
        <v>1</v>
      </c>
      <c r="S13" s="2">
        <v>0</v>
      </c>
      <c r="T13" s="2">
        <v>35.000000000000000</v>
      </c>
      <c r="U13" s="2">
        <v>0</v>
      </c>
      <c r="V13"/>
      <c r="W13" t="s">
        <v>2</v>
      </c>
      <c r="X13" s="2">
        <v>151.00000000000000</v>
      </c>
      <c r="Y13" t="s">
        <v>35</v>
      </c>
    </row>
    <row r="14" spans="1:25">
      <c r="A14" t="s">
        <v>101</v>
      </c>
      <c r="B14" t="s">
        <v>39</v>
      </c>
      <c r="C14" t="s">
        <v>52</v>
      </c>
      <c r="D14"/>
      <c r="E14" t="s">
        <v>27</v>
      </c>
      <c r="F14" t="s">
        <v>33</v>
      </c>
      <c r="G14" s="2">
        <v>358.00000000000000</v>
      </c>
      <c r="H14" s="2">
        <v>0</v>
      </c>
      <c r="I14" s="2">
        <v>0</v>
      </c>
      <c r="J14" s="2">
        <v>54.000000000000000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304.00000000000000</v>
      </c>
      <c r="Q14" s="2">
        <v>0</v>
      </c>
      <c r="R14" t="s">
        <v>1</v>
      </c>
      <c r="S14" s="2">
        <v>0</v>
      </c>
      <c r="T14" s="2">
        <v>58.000000000000000</v>
      </c>
      <c r="U14" s="2">
        <v>0</v>
      </c>
      <c r="V14"/>
      <c r="W14" t="s">
        <v>2</v>
      </c>
      <c r="X14" s="2">
        <v>246.00000000000000</v>
      </c>
      <c r="Y14" t="s">
        <v>35</v>
      </c>
    </row>
    <row r="15" spans="1:25">
      <c r="A15" t="s">
        <v>101</v>
      </c>
      <c r="B15" t="s">
        <v>39</v>
      </c>
      <c r="C15" t="s">
        <v>53</v>
      </c>
      <c r="D15"/>
      <c r="E15" t="s">
        <v>26</v>
      </c>
      <c r="F15" t="s">
        <v>34</v>
      </c>
      <c r="G15" s="2">
        <v>368.00000000000000</v>
      </c>
      <c r="H15" s="2">
        <v>104.00000000000000</v>
      </c>
      <c r="I15" s="2">
        <v>0</v>
      </c>
      <c r="J15" s="2">
        <v>55.000000000000000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313.00000000000000</v>
      </c>
      <c r="Q15" s="2">
        <v>0</v>
      </c>
      <c r="R15" t="s">
        <v>1</v>
      </c>
      <c r="S15" s="2">
        <v>0</v>
      </c>
      <c r="T15" s="2">
        <v>59.000000000000000</v>
      </c>
      <c r="U15" s="2">
        <v>0</v>
      </c>
      <c r="V15"/>
      <c r="W15" t="s">
        <v>2</v>
      </c>
      <c r="X15" s="2">
        <v>254.00000000000000</v>
      </c>
      <c r="Y15" t="s">
        <v>35</v>
      </c>
    </row>
    <row r="16" spans="1:25">
      <c r="A16" t="s">
        <v>101</v>
      </c>
      <c r="B16" t="s">
        <v>39</v>
      </c>
      <c r="C16" t="s">
        <v>54</v>
      </c>
      <c r="D16"/>
      <c r="E16" t="s">
        <v>23</v>
      </c>
      <c r="F16" t="s">
        <v>33</v>
      </c>
      <c r="G16" s="2">
        <v>288.00000000000000</v>
      </c>
      <c r="H16" s="2">
        <v>0</v>
      </c>
      <c r="I16" s="2">
        <v>0</v>
      </c>
      <c r="J16" s="2">
        <v>58.000000000000000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230.00000000000000</v>
      </c>
      <c r="Q16" s="2">
        <v>0</v>
      </c>
      <c r="R16" t="s">
        <v>1</v>
      </c>
      <c r="S16" s="2">
        <v>0</v>
      </c>
      <c r="T16" s="2">
        <v>44.000000000000000</v>
      </c>
      <c r="U16" s="2">
        <v>0</v>
      </c>
      <c r="V16"/>
      <c r="W16" t="s">
        <v>2</v>
      </c>
      <c r="X16" s="2">
        <v>186.00000000000000</v>
      </c>
      <c r="Y16" t="s">
        <v>35</v>
      </c>
    </row>
    <row r="17" spans="1:25">
      <c r="A17" t="s">
        <v>101</v>
      </c>
      <c r="B17" t="s">
        <v>39</v>
      </c>
      <c r="C17" t="s">
        <v>55</v>
      </c>
      <c r="D17"/>
      <c r="E17" t="s">
        <v>28</v>
      </c>
      <c r="F17" t="s">
        <v>33</v>
      </c>
      <c r="G17" s="2">
        <v>398.00000000000000</v>
      </c>
      <c r="H17" s="2">
        <v>0</v>
      </c>
      <c r="I17" s="2">
        <v>0</v>
      </c>
      <c r="J17" s="2">
        <v>80.000000000000000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318.00000000000000</v>
      </c>
      <c r="Q17" s="2">
        <v>0</v>
      </c>
      <c r="R17" t="s">
        <v>1</v>
      </c>
      <c r="S17" s="2">
        <v>0</v>
      </c>
      <c r="T17" s="2">
        <v>60.000000000000000</v>
      </c>
      <c r="U17" s="2">
        <v>0</v>
      </c>
      <c r="V17"/>
      <c r="W17" t="s">
        <v>2</v>
      </c>
      <c r="X17" s="2">
        <v>258.00000000000000</v>
      </c>
      <c r="Y17" t="s">
        <v>35</v>
      </c>
    </row>
    <row r="18" spans="1:25">
      <c r="A18" t="s">
        <v>101</v>
      </c>
      <c r="B18" t="s">
        <v>39</v>
      </c>
      <c r="C18" t="s">
        <v>56</v>
      </c>
      <c r="D18"/>
      <c r="E18" t="s">
        <v>26</v>
      </c>
      <c r="F18" t="s">
        <v>34</v>
      </c>
      <c r="G18" s="2">
        <v>1224.0000000000000</v>
      </c>
      <c r="H18" s="2">
        <v>245.00000000000000</v>
      </c>
      <c r="I18" s="2">
        <v>0</v>
      </c>
      <c r="J18" s="2">
        <v>184.00000000000000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1040.0000000000000</v>
      </c>
      <c r="Q18" s="2">
        <v>0</v>
      </c>
      <c r="R18" t="s">
        <v>1</v>
      </c>
      <c r="S18" s="2">
        <v>0</v>
      </c>
      <c r="T18" s="2">
        <v>198.00000000000000</v>
      </c>
      <c r="U18" s="2">
        <v>0</v>
      </c>
      <c r="V18"/>
      <c r="W18" t="s">
        <v>2</v>
      </c>
      <c r="X18" s="2">
        <v>842.00000000000000</v>
      </c>
      <c r="Y18" t="s">
        <v>35</v>
      </c>
    </row>
    <row r="19" spans="1:25">
      <c r="A19" t="s">
        <v>101</v>
      </c>
      <c r="B19" t="s">
        <v>39</v>
      </c>
      <c r="C19" t="s">
        <v>57</v>
      </c>
      <c r="D19"/>
      <c r="E19" t="s">
        <v>27</v>
      </c>
      <c r="F19" t="s">
        <v>34</v>
      </c>
      <c r="G19" s="2">
        <v>526.00000000000000</v>
      </c>
      <c r="H19" s="2">
        <v>105.00000000000000</v>
      </c>
      <c r="I19" s="2">
        <v>0</v>
      </c>
      <c r="J19" s="2">
        <v>79.000000000000000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447.00000000000000</v>
      </c>
      <c r="Q19" s="2">
        <v>0</v>
      </c>
      <c r="R19" t="s">
        <v>1</v>
      </c>
      <c r="S19" s="2">
        <v>0</v>
      </c>
      <c r="T19" s="2">
        <v>85.000000000000000</v>
      </c>
      <c r="U19" s="2">
        <v>0</v>
      </c>
      <c r="V19"/>
      <c r="W19" t="s">
        <v>2</v>
      </c>
      <c r="X19" s="2">
        <v>362.00000000000000</v>
      </c>
      <c r="Y19" t="s">
        <v>35</v>
      </c>
    </row>
    <row r="20" spans="1:25">
      <c r="A20" t="s">
        <v>101</v>
      </c>
      <c r="B20" t="s">
        <v>39</v>
      </c>
      <c r="C20" t="s">
        <v>58</v>
      </c>
      <c r="D20"/>
      <c r="E20" t="s">
        <v>25</v>
      </c>
      <c r="F20" t="s">
        <v>34</v>
      </c>
      <c r="G20" s="2">
        <v>219.00000000000000</v>
      </c>
      <c r="H20" s="2">
        <v>74.000000000000000</v>
      </c>
      <c r="I20" s="2">
        <v>0</v>
      </c>
      <c r="J20" s="2">
        <v>44.000000000000000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175.00000000000000</v>
      </c>
      <c r="Q20" s="2">
        <v>0</v>
      </c>
      <c r="R20" t="s">
        <v>1</v>
      </c>
      <c r="S20" s="2">
        <v>0</v>
      </c>
      <c r="T20" s="2">
        <v>33.000000000000000</v>
      </c>
      <c r="U20" s="2">
        <v>0</v>
      </c>
      <c r="V20"/>
      <c r="W20" t="s">
        <v>2</v>
      </c>
      <c r="X20" s="2">
        <v>142.00000000000000</v>
      </c>
      <c r="Y20" t="s">
        <v>35</v>
      </c>
    </row>
    <row r="21" spans="1:25">
      <c r="A21" t="s">
        <v>101</v>
      </c>
      <c r="B21" t="s">
        <v>39</v>
      </c>
      <c r="C21" t="s">
        <v>59</v>
      </c>
      <c r="D21"/>
      <c r="E21" t="s">
        <v>26</v>
      </c>
      <c r="F21" t="s">
        <v>34</v>
      </c>
      <c r="G21" s="2">
        <v>637.00000000000000</v>
      </c>
      <c r="H21" s="2">
        <v>127.00000000000000</v>
      </c>
      <c r="I21" s="2">
        <v>0</v>
      </c>
      <c r="J21" s="2">
        <v>127.00000000000000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510.00000000000000</v>
      </c>
      <c r="Q21" s="2">
        <v>0</v>
      </c>
      <c r="R21" t="s">
        <v>1</v>
      </c>
      <c r="S21" s="2">
        <v>0</v>
      </c>
      <c r="T21" s="2">
        <v>97.000000000000000</v>
      </c>
      <c r="U21" s="2">
        <v>0</v>
      </c>
      <c r="V21"/>
      <c r="W21" t="s">
        <v>2</v>
      </c>
      <c r="X21" s="2">
        <v>413.00000000000000</v>
      </c>
      <c r="Y21" t="s">
        <v>35</v>
      </c>
    </row>
    <row r="22" spans="1:25">
      <c r="A22" t="s">
        <v>101</v>
      </c>
      <c r="B22" t="s">
        <v>39</v>
      </c>
      <c r="C22" t="s">
        <v>60</v>
      </c>
      <c r="D22"/>
      <c r="E22" t="s">
        <v>23</v>
      </c>
      <c r="F22" t="s">
        <v>34</v>
      </c>
      <c r="G22" s="2">
        <v>199.00000000000000</v>
      </c>
      <c r="H22" s="2">
        <v>60.000000000000000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199.00000000000000</v>
      </c>
      <c r="Q22" s="2">
        <v>0</v>
      </c>
      <c r="R22" t="s">
        <v>1</v>
      </c>
      <c r="S22" s="2">
        <v>0</v>
      </c>
      <c r="T22" s="2">
        <v>38.000000000000000</v>
      </c>
      <c r="U22" s="2">
        <v>0</v>
      </c>
      <c r="V22"/>
      <c r="W22" t="s">
        <v>2</v>
      </c>
      <c r="X22" s="2">
        <v>161.00000000000000</v>
      </c>
      <c r="Y22" t="s">
        <v>35</v>
      </c>
    </row>
    <row r="23" spans="1:25">
      <c r="A23" t="s">
        <v>101</v>
      </c>
      <c r="B23" t="s">
        <v>39</v>
      </c>
      <c r="C23" t="s">
        <v>61</v>
      </c>
      <c r="D23"/>
      <c r="E23" t="s">
        <v>28</v>
      </c>
      <c r="F23" t="s">
        <v>34</v>
      </c>
      <c r="G23" s="2">
        <v>935.00000000000000</v>
      </c>
      <c r="H23" s="2">
        <v>187.00000000000000</v>
      </c>
      <c r="I23" s="2">
        <v>0</v>
      </c>
      <c r="J23" s="2">
        <v>187.00000000000000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748.00000000000000</v>
      </c>
      <c r="Q23" s="2">
        <v>0</v>
      </c>
      <c r="R23" t="s">
        <v>1</v>
      </c>
      <c r="S23" s="2">
        <v>0</v>
      </c>
      <c r="T23" s="2">
        <v>142.00000000000000</v>
      </c>
      <c r="U23" s="2">
        <v>0</v>
      </c>
      <c r="V23"/>
      <c r="W23" t="s">
        <v>2</v>
      </c>
      <c r="X23" s="2">
        <v>606.00000000000000</v>
      </c>
      <c r="Y23" t="s">
        <v>35</v>
      </c>
    </row>
    <row r="24" spans="1:25">
      <c r="A24" t="s">
        <v>101</v>
      </c>
      <c r="B24" t="s">
        <v>39</v>
      </c>
      <c r="C24" t="s">
        <v>62</v>
      </c>
      <c r="D24"/>
      <c r="E24" t="s">
        <v>28</v>
      </c>
      <c r="F24" t="s">
        <v>33</v>
      </c>
      <c r="G24" s="2">
        <v>348.00000000000000</v>
      </c>
      <c r="H24" s="2">
        <v>40.000000000000000</v>
      </c>
      <c r="I24" s="2">
        <v>0</v>
      </c>
      <c r="J24" s="2">
        <v>52.000000000000000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296.00000000000000</v>
      </c>
      <c r="Q24" s="2">
        <v>0</v>
      </c>
      <c r="R24" t="s">
        <v>1</v>
      </c>
      <c r="S24" s="2">
        <v>0</v>
      </c>
      <c r="T24" s="2">
        <v>56.000000000000000</v>
      </c>
      <c r="U24" s="2">
        <v>0</v>
      </c>
      <c r="V24"/>
      <c r="W24" t="s">
        <v>2</v>
      </c>
      <c r="X24" s="2">
        <v>240.00000000000000</v>
      </c>
      <c r="Y24" t="s">
        <v>35</v>
      </c>
    </row>
    <row r="25" spans="1:25">
      <c r="A25" t="s">
        <v>101</v>
      </c>
      <c r="B25" t="s">
        <v>39</v>
      </c>
      <c r="C25" t="s">
        <v>63</v>
      </c>
      <c r="D25"/>
      <c r="E25" t="s">
        <v>22</v>
      </c>
      <c r="F25" t="s">
        <v>34</v>
      </c>
      <c r="G25" s="2">
        <v>258.00000000000000</v>
      </c>
      <c r="H25" s="2">
        <v>52.000000000000000</v>
      </c>
      <c r="I25" s="2">
        <v>0</v>
      </c>
      <c r="J25" s="2">
        <v>52.000000000000000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206.00000000000000</v>
      </c>
      <c r="Q25" s="2">
        <v>0</v>
      </c>
      <c r="R25" t="s">
        <v>1</v>
      </c>
      <c r="S25" s="2">
        <v>0</v>
      </c>
      <c r="T25" s="2">
        <v>39.000000000000000</v>
      </c>
      <c r="U25" s="2">
        <v>0</v>
      </c>
      <c r="V25"/>
      <c r="W25" t="s">
        <v>2</v>
      </c>
      <c r="X25" s="2">
        <v>167.00000000000000</v>
      </c>
      <c r="Y25" t="s">
        <v>35</v>
      </c>
    </row>
    <row r="26" spans="1:25">
      <c r="A26" t="s">
        <v>101</v>
      </c>
      <c r="B26" t="s">
        <v>39</v>
      </c>
      <c r="C26" t="s">
        <v>64</v>
      </c>
      <c r="D26"/>
      <c r="E26" t="s">
        <v>27</v>
      </c>
      <c r="F26" t="s">
        <v>34</v>
      </c>
      <c r="G26" s="2">
        <v>298.00000000000000</v>
      </c>
      <c r="H26" s="2">
        <v>60.000000000000000</v>
      </c>
      <c r="I26" s="2">
        <v>0</v>
      </c>
      <c r="J26" s="2">
        <v>45.000000000000000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253.00000000000000</v>
      </c>
      <c r="Q26" s="2">
        <v>0</v>
      </c>
      <c r="R26" t="s">
        <v>1</v>
      </c>
      <c r="S26" s="2">
        <v>0</v>
      </c>
      <c r="T26" s="2">
        <v>48.000000000000000</v>
      </c>
      <c r="U26" s="2">
        <v>0</v>
      </c>
      <c r="V26"/>
      <c r="W26" t="s">
        <v>2</v>
      </c>
      <c r="X26" s="2">
        <v>205.00000000000000</v>
      </c>
      <c r="Y26" t="s">
        <v>35</v>
      </c>
    </row>
    <row r="27" spans="1:25">
      <c r="A27" t="s">
        <v>101</v>
      </c>
      <c r="B27" t="s">
        <v>39</v>
      </c>
      <c r="C27" t="s">
        <v>65</v>
      </c>
      <c r="D27"/>
      <c r="E27" t="s">
        <v>22</v>
      </c>
      <c r="F27" t="s">
        <v>33</v>
      </c>
      <c r="G27" s="2">
        <v>687.00000000000000</v>
      </c>
      <c r="H27" s="2">
        <v>0</v>
      </c>
      <c r="I27" s="2">
        <v>0</v>
      </c>
      <c r="J27" s="2">
        <v>103.00000000000000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584.00000000000000</v>
      </c>
      <c r="Q27" s="2">
        <v>0</v>
      </c>
      <c r="R27" t="s">
        <v>1</v>
      </c>
      <c r="S27" s="2">
        <v>0</v>
      </c>
      <c r="T27" s="2">
        <v>111.00000000000000</v>
      </c>
      <c r="U27" s="2">
        <v>0</v>
      </c>
      <c r="V27"/>
      <c r="W27" t="s">
        <v>2</v>
      </c>
      <c r="X27" s="2">
        <v>473.00000000000000</v>
      </c>
      <c r="Y27" t="s">
        <v>35</v>
      </c>
    </row>
    <row r="28" spans="1:25">
      <c r="A28" t="s">
        <v>101</v>
      </c>
      <c r="B28" t="s">
        <v>39</v>
      </c>
      <c r="C28" t="s">
        <v>66</v>
      </c>
      <c r="D28"/>
      <c r="E28" t="s">
        <v>22</v>
      </c>
      <c r="F28" t="s">
        <v>33</v>
      </c>
      <c r="G28" s="2">
        <v>417.00000000000000</v>
      </c>
      <c r="H28" s="2">
        <v>0</v>
      </c>
      <c r="I28" s="2">
        <v>0</v>
      </c>
      <c r="J28" s="2">
        <v>63.000000000000000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354.00000000000000</v>
      </c>
      <c r="Q28" s="2">
        <v>0</v>
      </c>
      <c r="R28" t="s">
        <v>1</v>
      </c>
      <c r="S28" s="2">
        <v>0</v>
      </c>
      <c r="T28" s="2">
        <v>67.000000000000000</v>
      </c>
      <c r="U28" s="2">
        <v>0</v>
      </c>
      <c r="V28"/>
      <c r="W28" t="s">
        <v>2</v>
      </c>
      <c r="X28" s="2">
        <v>287.00000000000000</v>
      </c>
      <c r="Y28" t="s">
        <v>35</v>
      </c>
    </row>
    <row r="29" spans="1:25">
      <c r="A29" t="s">
        <v>101</v>
      </c>
      <c r="B29" t="s">
        <v>39</v>
      </c>
      <c r="C29" t="s">
        <v>67</v>
      </c>
      <c r="D29"/>
      <c r="E29" t="s">
        <v>26</v>
      </c>
      <c r="F29" t="s">
        <v>34</v>
      </c>
      <c r="G29" s="2">
        <v>258.00000000000000</v>
      </c>
      <c r="H29" s="2">
        <v>52.000000000000000</v>
      </c>
      <c r="I29" s="2">
        <v>0</v>
      </c>
      <c r="J29" s="2">
        <v>52.000000000000000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206.00000000000000</v>
      </c>
      <c r="Q29" s="2">
        <v>0</v>
      </c>
      <c r="R29" t="s">
        <v>1</v>
      </c>
      <c r="S29" s="2">
        <v>0</v>
      </c>
      <c r="T29" s="2">
        <v>39.000000000000000</v>
      </c>
      <c r="U29" s="2">
        <v>0</v>
      </c>
      <c r="V29"/>
      <c r="W29" t="s">
        <v>2</v>
      </c>
      <c r="X29" s="2">
        <v>167.00000000000000</v>
      </c>
      <c r="Y29" t="s">
        <v>35</v>
      </c>
    </row>
    <row r="30" spans="1:25">
      <c r="A30" t="s">
        <v>101</v>
      </c>
      <c r="B30" t="s">
        <v>39</v>
      </c>
      <c r="C30" t="s">
        <v>68</v>
      </c>
      <c r="D30"/>
      <c r="E30" t="s">
        <v>29</v>
      </c>
      <c r="F30" t="s">
        <v>34</v>
      </c>
      <c r="G30" s="2">
        <v>248.00000000000000</v>
      </c>
      <c r="H30" s="2">
        <v>110.00000000000000</v>
      </c>
      <c r="I30" s="2">
        <v>0</v>
      </c>
      <c r="J30" s="2">
        <v>37.000000000000000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211.00000000000000</v>
      </c>
      <c r="Q30" s="2">
        <v>0</v>
      </c>
      <c r="R30" t="s">
        <v>1</v>
      </c>
      <c r="S30" s="2">
        <v>0</v>
      </c>
      <c r="T30" s="2">
        <v>40.000000000000000</v>
      </c>
      <c r="U30" s="2">
        <v>0</v>
      </c>
      <c r="V30"/>
      <c r="W30" t="s">
        <v>2</v>
      </c>
      <c r="X30" s="2">
        <v>171.00000000000000</v>
      </c>
      <c r="Y30" t="s">
        <v>35</v>
      </c>
    </row>
    <row r="31" spans="1:25">
      <c r="A31" t="s">
        <v>101</v>
      </c>
      <c r="B31" t="s">
        <v>39</v>
      </c>
      <c r="C31" t="s">
        <v>69</v>
      </c>
      <c r="D31"/>
      <c r="E31" t="s">
        <v>29</v>
      </c>
      <c r="F31" t="s">
        <v>33</v>
      </c>
      <c r="G31" s="2">
        <v>697.00000000000000</v>
      </c>
      <c r="H31" s="2">
        <v>0</v>
      </c>
      <c r="I31" s="2">
        <v>0</v>
      </c>
      <c r="J31" s="2">
        <v>139.00000000000000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558.00000000000000</v>
      </c>
      <c r="Q31" s="2">
        <v>0</v>
      </c>
      <c r="R31" t="s">
        <v>1</v>
      </c>
      <c r="S31" s="2">
        <v>0</v>
      </c>
      <c r="T31" s="2">
        <v>106.00000000000000</v>
      </c>
      <c r="U31" s="2">
        <v>0</v>
      </c>
      <c r="V31"/>
      <c r="W31" t="s">
        <v>2</v>
      </c>
      <c r="X31" s="2">
        <v>452.00000000000000</v>
      </c>
      <c r="Y31" t="s">
        <v>35</v>
      </c>
    </row>
    <row r="32" spans="1:25">
      <c r="A32" t="s">
        <v>101</v>
      </c>
      <c r="B32" t="s">
        <v>39</v>
      </c>
      <c r="C32" t="s">
        <v>70</v>
      </c>
      <c r="D32"/>
      <c r="E32" t="s">
        <v>32</v>
      </c>
      <c r="F32" t="s">
        <v>33</v>
      </c>
      <c r="G32" s="2">
        <v>516.00000000000000</v>
      </c>
      <c r="H32" s="2">
        <v>0</v>
      </c>
      <c r="I32" s="2">
        <v>0</v>
      </c>
      <c r="J32" s="2">
        <v>103.00000000000000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413.00000000000000</v>
      </c>
      <c r="Q32" s="2">
        <v>0</v>
      </c>
      <c r="R32" t="s">
        <v>1</v>
      </c>
      <c r="S32" s="2">
        <v>0</v>
      </c>
      <c r="T32" s="2">
        <v>78.000000000000000</v>
      </c>
      <c r="U32" s="2">
        <v>0</v>
      </c>
      <c r="V32"/>
      <c r="W32" t="s">
        <v>2</v>
      </c>
      <c r="X32" s="2">
        <v>335.00000000000000</v>
      </c>
      <c r="Y32" t="s">
        <v>35</v>
      </c>
    </row>
    <row r="33" spans="1:25">
      <c r="A33" t="s">
        <v>101</v>
      </c>
      <c r="B33" t="s">
        <v>39</v>
      </c>
      <c r="C33" t="s">
        <v>71</v>
      </c>
      <c r="D33"/>
      <c r="E33" t="s">
        <v>32</v>
      </c>
      <c r="F33" t="s">
        <v>33</v>
      </c>
      <c r="G33" s="2">
        <v>398.00000000000000</v>
      </c>
      <c r="H33" s="2">
        <v>0</v>
      </c>
      <c r="I33" s="2">
        <v>0</v>
      </c>
      <c r="J33" s="2">
        <v>80.000000000000000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318.00000000000000</v>
      </c>
      <c r="Q33" s="2">
        <v>0</v>
      </c>
      <c r="R33" t="s">
        <v>1</v>
      </c>
      <c r="S33" s="2">
        <v>0</v>
      </c>
      <c r="T33" s="2">
        <v>60.000000000000000</v>
      </c>
      <c r="U33" s="2">
        <v>0</v>
      </c>
      <c r="V33"/>
      <c r="W33" t="s">
        <v>2</v>
      </c>
      <c r="X33" s="2">
        <v>258.00000000000000</v>
      </c>
      <c r="Y33" t="s">
        <v>35</v>
      </c>
    </row>
    <row r="34" spans="1:25">
      <c r="A34" t="s">
        <v>101</v>
      </c>
      <c r="B34" t="s">
        <v>39</v>
      </c>
      <c r="C34" t="s">
        <v>72</v>
      </c>
      <c r="D34"/>
      <c r="E34" t="s">
        <v>30</v>
      </c>
      <c r="F34" t="s">
        <v>33</v>
      </c>
      <c r="G34" s="2">
        <v>807.00000000000000</v>
      </c>
      <c r="H34" s="2">
        <v>0</v>
      </c>
      <c r="I34" s="2">
        <v>0</v>
      </c>
      <c r="J34" s="2">
        <v>161.00000000000000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646.00000000000000</v>
      </c>
      <c r="Q34" s="2">
        <v>0</v>
      </c>
      <c r="R34" t="s">
        <v>1</v>
      </c>
      <c r="S34" s="2">
        <v>0</v>
      </c>
      <c r="T34" s="2">
        <v>123.00000000000000</v>
      </c>
      <c r="U34" s="2">
        <v>0</v>
      </c>
      <c r="V34"/>
      <c r="W34" t="s">
        <v>2</v>
      </c>
      <c r="X34" s="2">
        <v>523.00000000000000</v>
      </c>
      <c r="Y34" t="s">
        <v>35</v>
      </c>
    </row>
    <row r="35" spans="1:25">
      <c r="A35" t="s">
        <v>101</v>
      </c>
      <c r="B35" t="s">
        <v>39</v>
      </c>
      <c r="C35" t="s">
        <v>73</v>
      </c>
      <c r="D35"/>
      <c r="E35" t="s">
        <v>31</v>
      </c>
      <c r="F35" t="s">
        <v>33</v>
      </c>
      <c r="G35" s="2">
        <v>1184.0000000000000</v>
      </c>
      <c r="H35" s="2">
        <v>0</v>
      </c>
      <c r="I35" s="2">
        <v>0</v>
      </c>
      <c r="J35" s="2">
        <v>237.00000000000000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947.00000000000000</v>
      </c>
      <c r="Q35" s="2">
        <v>0</v>
      </c>
      <c r="R35" t="s">
        <v>1</v>
      </c>
      <c r="S35" s="2">
        <v>0</v>
      </c>
      <c r="T35" s="2">
        <v>180.00000000000000</v>
      </c>
      <c r="U35" s="2">
        <v>0</v>
      </c>
      <c r="V35"/>
      <c r="W35" t="s">
        <v>2</v>
      </c>
      <c r="X35" s="2">
        <v>767.00000000000000</v>
      </c>
      <c r="Y35" t="s">
        <v>35</v>
      </c>
    </row>
    <row r="36" spans="1:25">
      <c r="A36" t="s">
        <v>101</v>
      </c>
      <c r="B36" t="s">
        <v>39</v>
      </c>
      <c r="C36" t="s">
        <v>74</v>
      </c>
      <c r="D36"/>
      <c r="E36" t="s">
        <v>32</v>
      </c>
      <c r="F36" t="s">
        <v>34</v>
      </c>
      <c r="G36" s="2">
        <v>258.00000000000000</v>
      </c>
      <c r="H36" s="2">
        <v>52.000000000000000</v>
      </c>
      <c r="I36" s="2">
        <v>0</v>
      </c>
      <c r="J36" s="2">
        <v>52.000000000000000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206.00000000000000</v>
      </c>
      <c r="Q36" s="2">
        <v>0</v>
      </c>
      <c r="R36" t="s">
        <v>1</v>
      </c>
      <c r="S36" s="2">
        <v>0</v>
      </c>
      <c r="T36" s="2">
        <v>39.000000000000000</v>
      </c>
      <c r="U36" s="2">
        <v>0</v>
      </c>
      <c r="V36"/>
      <c r="W36" t="s">
        <v>2</v>
      </c>
      <c r="X36" s="2">
        <v>167.00000000000000</v>
      </c>
      <c r="Y36" t="s">
        <v>35</v>
      </c>
    </row>
  </sheetData>
  <pageMargins left="0.70" right="0.70" top="0.75" bottom="0.75" header="0.30" footer="0.30"/>
  <pageSetup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D17"/>
  <sheetViews>
    <sheetView tabSelected="0" zoomScale="100" zoomScaleNormal="100" zoomScalePageLayoutView="100" zoomScaleSheetLayoutView="100" workbookViewId="0" showGridLines="1" showRowColHeaders="1">
      <selection activeCell="A1" sqref="A1"/>
    </sheetView>
  </sheetViews>
  <sheetFormatPr defaultRowHeight="12.75" x14ac:outlineLevelCol="0"/>
  <cols>
    <col min="3" max="3" width="3.0000000000000000E+01" customWidth="true"/>
    <col min="4" max="4" width="3.0000000000000000E+01" customWidth="true"/>
    <col min="5" max="5" width="3.0000000000000000E+01" customWidth="true"/>
    <col min="6" max="6" width="7.5000000000000000E-01" bestFit="true" customWidth="true"/>
  </cols>
  <sheetData>
    <row r="1" spans="1:4">
      <c r="A1" t="s">
        <v>102</v>
      </c>
      <c r="B1" t="s">
        <v>98</v>
      </c>
      <c r="C1" t="s">
        <v>100</v>
      </c>
      <c r="D1" t="s">
        <v>87</v>
      </c>
    </row>
    <row r="2" spans="1:4">
      <c r="A2" t="s">
        <v>88</v>
      </c>
      <c r="B2" t="s">
        <v>3</v>
      </c>
      <c r="C2" s="2">
        <v>21.000000000000000</v>
      </c>
      <c r="D2" t="s">
        <v>35</v>
      </c>
    </row>
    <row r="3" spans="1:4">
      <c r="A3" t="s">
        <v>88</v>
      </c>
      <c r="B3" t="s">
        <v>4</v>
      </c>
      <c r="C3" s="2">
        <v>14.000000000000000</v>
      </c>
      <c r="D3" t="s">
        <v>35</v>
      </c>
    </row>
    <row r="4" spans="1:4">
      <c r="A4" t="s">
        <v>88</v>
      </c>
      <c r="B4" t="s">
        <v>5</v>
      </c>
      <c r="C4" s="2">
        <v>42.000000000000000</v>
      </c>
      <c r="D4" t="s">
        <v>35</v>
      </c>
    </row>
    <row r="5" spans="1:4">
      <c r="A5" t="s">
        <v>88</v>
      </c>
      <c r="B5" t="s">
        <v>6</v>
      </c>
      <c r="C5" s="2">
        <v>77.000000000000000</v>
      </c>
      <c r="D5" t="s">
        <v>35</v>
      </c>
    </row>
    <row r="6" spans="1:4">
      <c r="A6" t="s">
        <v>88</v>
      </c>
      <c r="B6" t="s">
        <v>7</v>
      </c>
      <c r="C6" s="2">
        <v>14.000000000000000</v>
      </c>
      <c r="D6" t="s">
        <v>35</v>
      </c>
    </row>
    <row r="7" spans="1:4">
      <c r="A7" t="s">
        <v>88</v>
      </c>
      <c r="B7" t="s">
        <v>8</v>
      </c>
      <c r="C7" s="2">
        <v>21.000000000000000</v>
      </c>
      <c r="D7" t="s">
        <v>35</v>
      </c>
    </row>
    <row r="8" spans="1:4">
      <c r="A8" t="s">
        <v>88</v>
      </c>
      <c r="B8" t="s">
        <v>9</v>
      </c>
      <c r="C8" s="2">
        <v>21.000000000000000</v>
      </c>
      <c r="D8" t="s">
        <v>35</v>
      </c>
    </row>
    <row r="9" spans="1:4">
      <c r="A9" t="s">
        <v>88</v>
      </c>
      <c r="B9" t="s">
        <v>10</v>
      </c>
      <c r="C9" s="2">
        <v>49.000000000000000</v>
      </c>
      <c r="D9" t="s">
        <v>35</v>
      </c>
    </row>
    <row r="10" spans="1:4">
      <c r="A10" t="s">
        <v>88</v>
      </c>
      <c r="B10" t="s">
        <v>11</v>
      </c>
      <c r="C10" s="2">
        <v>56.000000000000000</v>
      </c>
      <c r="D10" t="s">
        <v>35</v>
      </c>
    </row>
    <row r="11" spans="1:4">
      <c r="A11" t="s">
        <v>88</v>
      </c>
      <c r="B11" t="s">
        <v>12</v>
      </c>
      <c r="C11" s="2">
        <v>21.000000000000000</v>
      </c>
      <c r="D11" t="s">
        <v>35</v>
      </c>
    </row>
    <row r="12" spans="1:4">
      <c r="A12" t="s">
        <v>88</v>
      </c>
      <c r="B12" t="s">
        <v>13</v>
      </c>
      <c r="C12" s="2">
        <v>28.000000000000000</v>
      </c>
      <c r="D12" t="s">
        <v>35</v>
      </c>
    </row>
    <row r="13" spans="1:4">
      <c r="A13" t="s">
        <v>88</v>
      </c>
      <c r="B13" t="s">
        <v>14</v>
      </c>
      <c r="C13" s="2">
        <v>28.000000000000000</v>
      </c>
      <c r="D13" t="s">
        <v>35</v>
      </c>
    </row>
    <row r="14" spans="1:4">
      <c r="A14" t="s">
        <v>88</v>
      </c>
      <c r="B14" t="s">
        <v>15</v>
      </c>
      <c r="C14" s="2">
        <v>35.000000000000000</v>
      </c>
      <c r="D14" t="s">
        <v>35</v>
      </c>
    </row>
    <row r="15" spans="1:4">
      <c r="A15" t="s">
        <v>88</v>
      </c>
      <c r="B15" t="s">
        <v>16</v>
      </c>
      <c r="C15" s="2">
        <v>21.000000000000000</v>
      </c>
      <c r="D15" t="s">
        <v>35</v>
      </c>
    </row>
    <row r="16" spans="1:4">
      <c r="A16" t="s">
        <v>89</v>
      </c>
      <c r="B16" t="s">
        <v>17</v>
      </c>
      <c r="C16" s="2">
        <v>15.000000000000000</v>
      </c>
      <c r="D16" t="s">
        <v>35</v>
      </c>
    </row>
    <row r="17" spans="1:4">
      <c r="C17" s="2">
        <f>SUBTOTAL(109,[金額])</f>
      </c>
    </row>
  </sheetData>
  <pageMargins left="0.70" right="0.70" top="0.75" bottom="0.75" header="0.30" footer="0.30"/>
  <pageSetup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附件1</vt:lpstr>
      <vt:lpstr>附件2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BATCH1_O2C</dc:creator>
  <dc:description>7.2.0</dc:description>
  <cp:lastModifiedBy>BATCH1_O2C</cp:lastModifiedBy>
  <dcterms:created xsi:type="dcterms:W3CDTF">2026-10-19T12:38:22Z</dcterms:created>
  <dcterms:modified xsi:type="dcterms:W3CDTF">2026-10-19T12:38:22Z</dcterms:modified>
</cp:coreProperties>
</file>